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f\Workspace\apps\work-portal\template\"/>
    </mc:Choice>
  </mc:AlternateContent>
  <xr:revisionPtr revIDLastSave="0" documentId="13_ncr:1_{234D30BB-56CA-45F2-AF93-1D2E23E5BE31}" xr6:coauthVersionLast="47" xr6:coauthVersionMax="47" xr10:uidLastSave="{00000000-0000-0000-0000-000000000000}"/>
  <bookViews>
    <workbookView xWindow="3171" yWindow="4629" windowWidth="24686" windowHeight="13165" activeTab="1" xr2:uid="{00000000-000D-0000-FFFF-FFFF00000000}"/>
  </bookViews>
  <sheets>
    <sheet name="요약" sheetId="1" r:id="rId1"/>
    <sheet name="하자현황" sheetId="2" r:id="rId2"/>
  </sheets>
  <definedNames>
    <definedName name="B">#REF!</definedName>
    <definedName name="_xlnm.Database">#REF!</definedName>
    <definedName name="GHYT">#REF!</definedName>
    <definedName name="llkj">#REF!</definedName>
    <definedName name="ppp">#REF!</definedName>
    <definedName name="_xlnm.Print_Area" localSheetId="1">하자현황!$A$1:$N$12</definedName>
    <definedName name="print_tietes">#REF!</definedName>
    <definedName name="print_tites">#REF!</definedName>
    <definedName name="_xlnm.Print_Titles" localSheetId="0">요약!$5:$5</definedName>
    <definedName name="_xlnm.Print_Titles" localSheetId="1">하자현황!$2:$2</definedName>
    <definedName name="ss">#REF!</definedName>
    <definedName name="v">#REF!</definedName>
    <definedName name="ㄱㅎ">#REF!</definedName>
    <definedName name="가나다">#REF!</definedName>
    <definedName name="갈락파4고">#REF!</definedName>
    <definedName name="갑지">#REF!</definedName>
    <definedName name="갑지2">#REF!</definedName>
    <definedName name="고">#REF!</definedName>
    <definedName name="고2">#REF!</definedName>
    <definedName name="교">#REF!</definedName>
    <definedName name="교2">#REF!</definedName>
    <definedName name="구">#REF!</definedName>
    <definedName name="ㄴㅁㅇㄴㅁㅇㄴㅁㅇㄴㅁ">#REF!</definedName>
    <definedName name="ㄷㄷ">#REF!</definedName>
    <definedName name="ㄷㅈ">#REF!</definedName>
    <definedName name="ㄷㅈ2">#REF!</definedName>
    <definedName name="데이타2">#REF!</definedName>
    <definedName name="동력">#REF!</definedName>
    <definedName name="동력222">#REF!</definedName>
    <definedName name="ㄸ쫑개">#REF!</definedName>
    <definedName name="라디오2">#REF!</definedName>
    <definedName name="라디오재방송점검양식">#REF!</definedName>
    <definedName name="ㅁㅁ">#REF!</definedName>
    <definedName name="박주">#REF!</definedName>
    <definedName name="발전기">#REF!</definedName>
    <definedName name="변암기온도양식">#REF!</definedName>
    <definedName name="변압기온도2">#REF!</definedName>
    <definedName name="비2">#REF!</definedName>
    <definedName name="비상">#REF!</definedName>
    <definedName name="사매1터널">#REF!</definedName>
    <definedName name="사진">#REF!</definedName>
    <definedName name="사진대지">#REF!</definedName>
    <definedName name="사진대지1">#REF!</definedName>
    <definedName name="사진대지표지1">#REF!</definedName>
    <definedName name="새이름">#REF!</definedName>
    <definedName name="ㅇㅇㅇ">#REF!</definedName>
    <definedName name="엄부">#REF!</definedName>
    <definedName name="업무">#REF!</definedName>
    <definedName name="업무내용">#REF!</definedName>
    <definedName name="업무내용11">#REF!</definedName>
    <definedName name="일">#REF!</definedName>
    <definedName name="일반">#REF!</definedName>
    <definedName name="일반222">#REF!</definedName>
    <definedName name="일반용">#REF!</definedName>
    <definedName name="임시">#REF!</definedName>
    <definedName name="조명">#REF!</definedName>
    <definedName name="조명용">#REF!</definedName>
    <definedName name="천마">#REF!</definedName>
    <definedName name="통">#REF!</definedName>
    <definedName name="통신">#REF!</definedName>
    <definedName name="통신1">#REF!</definedName>
    <definedName name="프린터2">#REF!</definedName>
    <definedName name="프린터3">#REF!</definedName>
    <definedName name="ㅓㅓ">#REF!</definedName>
    <definedName name="ㅔ">#REF!</definedName>
    <definedName name="ㅠ">#REF!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<sst xmlns="http://schemas.openxmlformats.org/spreadsheetml/2006/main" count="41" uniqueCount="22">
  <si>
    <t>날짜</t>
  </si>
  <si>
    <t>공종</t>
  </si>
  <si>
    <t>터널명</t>
  </si>
  <si>
    <t>위치</t>
  </si>
  <si>
    <t>하자내용</t>
  </si>
  <si>
    <t>하자사진</t>
  </si>
  <si>
    <t>조치일</t>
  </si>
  <si>
    <t>조치사진</t>
  </si>
  <si>
    <t>조치여부</t>
  </si>
  <si>
    <t>업체명</t>
  </si>
  <si>
    <t>업체담당자</t>
  </si>
  <si>
    <t>전화번호</t>
  </si>
  <si>
    <t>비고</t>
  </si>
  <si>
    <t>관리</t>
  </si>
  <si>
    <t xml:space="preserve"> </t>
  </si>
  <si>
    <t>하자보수 진행별 요약</t>
  </si>
  <si>
    <t>건수</t>
  </si>
  <si>
    <t>총합계</t>
  </si>
  <si>
    <t>터널 하자보수현황</t>
    <phoneticPr fontId="3" type="noConversion"/>
  </si>
  <si>
    <t>(비어 있음)</t>
  </si>
  <si>
    <t>담당자</t>
    <phoneticPr fontId="3" type="noConversion"/>
  </si>
  <si>
    <t>전화번호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</si>
</sst>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맑은 고딕"/>
      <family val="2"/>
      <charset val="129"/>
    </font>
    <font>
      <sz val="13"/>
      <color theme="1"/>
      <name val="맑은 고딕"/>
      <family val="2"/>
      <charset val="129"/>
    </font>
    <font>
      <sz val="28"/>
      <color theme="1"/>
      <name val="HY헤드라인M"/>
      <family val="1"/>
      <charset val="129"/>
    </font>
    <font>
      <sz val="8"/>
      <name val="맑은 고딕"/>
      <family val="2"/>
      <charset val="129"/>
    </font>
    <font>
      <sz val="28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14" fontId="1" fillId="0" borderId="1" xfId="1" applyNumberForma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0" fontId="1" fillId="0" borderId="2" xfId="1" applyBorder="1" applyAlignment="1">
      <alignment vertical="center" wrapText="1"/>
    </xf>
    <xf numFmtId="0" fontId="1" fillId="0" borderId="2" xfId="1" applyBorder="1">
      <alignment vertical="center"/>
    </xf>
    <xf numFmtId="14" fontId="1" fillId="0" borderId="2" xfId="1" applyNumberForma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 shrinkToFit="1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pivotButton="1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8" xfId="0" applyFill="1" applyBorder="1">
      <alignment vertical="center"/>
    </xf>
    <xf numFmtId="0" fontId="2" fillId="2" borderId="0" xfId="0" applyFont="1" applyFill="1">
      <alignment vertical="center"/>
    </xf>
    <xf numFmtId="0" fontId="0" fillId="0" borderId="0" xfId="0" pivotButton="1" applyAlignment="1">
      <alignment horizontal="left" vertical="center"/>
    </xf>
    <xf numFmtId="0" fontId="0" fillId="0" borderId="0" xfId="0" pivotButton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8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/>
  </cellXfs>
  <cellStyles count="2">
    <cellStyle name="표준" xfId="0" builtinId="0"/>
    <cellStyle name="표준 2" xfId="1" xr:uid="{00000000-0005-0000-0000-000001000000}"/>
  </cellStyles>
  <dxfs count="42">
    <dxf>
      <font>
        <color rgb="FFFF0000"/>
      </font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numFmt numFmtId="19" formatCode="yyyy/mm/dd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3"/>
        <color theme="1"/>
        <name val="맑은 고딕"/>
        <family val="3"/>
        <charset val="129"/>
      </font>
      <numFmt numFmtId="19" formatCode="yyyy/mm/dd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font>
        <b/>
      </font>
      <fill>
        <patternFill>
          <bgColor theme="0" tint="-4.9989318521683403E-2"/>
        </patternFill>
      </fill>
      <border>
        <bottom style="thin">
          <color auto="1"/>
        </bottom>
      </border>
    </dxf>
    <dxf>
      <font>
        <b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</border>
    </dxf>
    <dxf>
      <font>
        <b/>
      </font>
      <fill>
        <patternFill>
          <bgColor theme="3" tint="0.89996032593768116"/>
        </patternFill>
      </fill>
      <border>
        <top style="thin">
          <color auto="1"/>
        </top>
        <bottom style="thin">
          <color auto="1"/>
        </bottom>
      </border>
    </dxf>
    <dxf>
      <border>
        <horizontal style="thin">
          <color theme="0" tint="-0.14993743705557422"/>
        </horizontal>
      </border>
    </dxf>
  </dxfs>
  <tableStyles count="2" defaultTableStyle="TableStyleMedium2" defaultPivotStyle="PivotStyleLight16">
    <tableStyle name="Invisible" pivot="0" table="0" count="0" xr9:uid="{00000000-0011-0000-FFFF-FFFF00000000}"/>
    <tableStyle name="신스타일1" table="0" count="5" xr9:uid="{00000000-0011-0000-FFFF-FFFF01000000}">
      <tableStyleElement type="wholeTable" dxfId="41"/>
      <tableStyleElement type="headerRow" dxfId="40"/>
      <tableStyleElement type="totalRow" dxfId="39"/>
      <tableStyleElement type="firstSubtotalRow" dxfId="38"/>
      <tableStyleElement type="firstRowSubheading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신종섭" refreshedDate="46204.655657754629" createdVersion="8" refreshedVersion="8" minRefreshableVersion="3" recordCount="63" xr:uid="{00000000-000A-0000-FFFF-FFFF00000000}">
  <cacheSource type="worksheet">
    <worksheetSource name="표_하자현황"/>
  </cacheSource>
  <cacheFields count="16">
    <cacheField name="날짜" numFmtId="0">
      <sharedItems containsNonDate="0" containsString="0" containsBlank="1" count="1">
        <m/>
      </sharedItems>
    </cacheField>
    <cacheField name="공종" numFmtId="0">
      <sharedItems containsNonDate="0" containsBlank="1" count="8">
        <m/>
        <s v="설비" u="1"/>
        <s v="전기" u="1"/>
        <s v="토목" u="1"/>
        <s v="통신" u="1"/>
        <s v="소방" u="1"/>
        <s v="건축" u="1"/>
        <s v="환기" u="1"/>
      </sharedItems>
    </cacheField>
    <cacheField name="터널명" numFmtId="0">
      <sharedItems containsNonDate="0" containsBlank="1" count="2">
        <m/>
        <s v="청하" u="1"/>
      </sharedItems>
    </cacheField>
    <cacheField name="위치" numFmtId="0">
      <sharedItems containsNonDate="0" containsBlank="1" count="11">
        <m/>
        <s v="관리동" u="1"/>
        <s v="주전기실" u="1"/>
        <s v="부전기실" u="1"/>
        <s v="공동구" u="1"/>
        <s v="전기실" u="1"/>
        <s v="기계실" u="1"/>
        <s v="터널" u="1"/>
        <s v="본선회차로" u="1"/>
        <s v="본선" u="1"/>
        <s v="지하공동구" u="1"/>
      </sharedItems>
    </cacheField>
    <cacheField name="하자내용" numFmtId="0">
      <sharedItems containsNonDate="0" containsBlank="1" count="65">
        <m/>
        <s v="관리동 화장실 변기 막힘" u="1"/>
        <s v="102/LV큐비클 태양광 INV-1(75KW) 지락발생" u="1"/>
        <s v="배전반 큐비클 통전표시기 불량(LV-105,108). 추후 방문 예정" u="1"/>
        <s v="PT203/HV 큐비클 잠금장치 불량" u="1"/>
        <s v="RTU2/LV 큐비클 잠금장치 불량" u="1"/>
        <s v="관리동 대기실 바닥 온열판넬 전원 미설치" u="1"/>
        <s v="관리동 대기실 바닥 온열판넬 불량" u="1"/>
        <s v="공동구 배수펌프 임펠러 이물질 끼임 FAULT발생" u="1"/>
        <s v="108/LV ACB 수동절체 시 비상발전기 기동 신호 불량" u="1"/>
        <s v="공동구 청소 미흡 (배수로 진흙 및 쓰레기)" u="1"/>
        <s v="BAT102 축전지BMS퓨즈 불량" u="1"/>
        <s v="전선 조인트 박스 커버 설치 안됨" u="1"/>
        <s v="CCTV 영상 표출 안됨 (IPWall error) " u="1"/>
        <s v="충압펌프 드레인 호수 누락" u="1"/>
        <s v="청하터널 관리사무소 출입구 CCTV 작동 불량" u="1"/>
        <s v="전력자동제어 순간(2초) 통신에러 메시지 발생" u="1"/>
        <s v="전력PC &quot;리포트&quot; 메뉴에서 리포트 생성 안 됨" u="1"/>
        <s v="건물 외벽 하부 벽돌 메지 부서짐" u="1"/>
        <s v="바닥 콘크리트 균열발생" u="1"/>
        <s v="옥상 물 끊기 홈 PVC 챔퍼 미철거" u="1"/>
        <s v="옥상 바닥 방수 TPO시트 부분 시공 미흡" u="1"/>
        <s v="태양광 INV-1(75KW) 지락발생으로 MCCB 트립" u="1"/>
        <s v="자동화재 탐지설비,  비상경보설비 수신기에서 회로시험 시 화재표시 팝업창 표출안됨 _x000a_(시공업체 : 터널안 발신기 작동시에만 표출)" u="1"/>
        <s v="지하공동구 직상환기구 천장 맨홀부분 빗물 유입" u="1"/>
        <s v="정류반 축전지 예비용까지 결선되어있음_x000a_결선 변경 요청(10개 -&gt; 9개, 1개 예비용)" u="1"/>
        <s v="옥상 물끈기 홈 PVC 챔퍼 미철거" u="1"/>
        <s v="전기실 진입로 미장 처리 미흡" u="1"/>
        <s v="정류반 축전지(RP-50) 내부저항 불량" u="1"/>
        <s v="피난유도등 불량" u="1"/>
        <s v="노출콘센트 접지선 결선 누락" u="1"/>
        <s v="터널 CCTV 화면 표출 안됨 (IPWall error, 서버 다운)" u="1"/>
        <s v="화장실 좌변기 바닥 누수" u="1"/>
        <s v="수직사다리 등받이 울 미설치 (바닥에서 2.5m)" u="1"/>
        <s v="GR형복합식수신기 비상경보설비 예비전력입력 경고 점등" u="1"/>
        <s v="관리동 출입구 캐노피 직부등 점등불량 (교체요청)" u="1"/>
        <s v="히팅케이블 저온경보 발생" u="1"/>
        <s v="가드레일 주변, 외부 청소상태 미흡" u="1"/>
        <s v="청하터널 포항방향 입구부 히팅케이블 온도센서 교체" u="1"/>
        <s v="청하터널 영덕방향 출구부, 포항방향 입구부_x000a_점검로 전선통로 막 설치 미흡" u="1"/>
        <s v="출입구 셔터 조작스위치 마감 미흡" u="1"/>
        <s v="201/LV  MCCB 전원 투입 영상고조파필터기기 내부 단락 으로 인한 손상 (0129 A/S차 수거, 0226 기기설치, 0310 A/S팀 방문 전원투입, 0311 이상소음발생 전원 끔 0325고조파필터 기기 교체2ea)" u="1"/>
        <s v="터널 입구(영덕) 회차로 X게이트 파손" u="1"/>
        <s v="포항방향(주행) 차단막 상부 기어박스 본체 뒷면 커버문짝 탈락" u="1"/>
        <s v="112/LV 제트팬판넬 JFD-203 푸시버튼 GL 미점등" u="1"/>
        <s v="112/LV 제트팬판넬 전자접촉기(MC65a) 교체요청" u="1"/>
        <s v="포항방향 VICO #102 불량" u="1"/>
        <s v="비상출입 방화문 설치(신설)" u="1"/>
        <s v="공동구 집수정 천장 보 부분 누수" u="1"/>
        <s v="건물 외벽 하부 벽돌 매지 부서짐 (여러부분)" u="1"/>
        <s v="광센서 장애 발생" u="1"/>
        <s v="변압기 큐비클 통로 측 천장 누수" u="1"/>
        <s v="BAT102 축전지 BMS 내부저항 에러 표출_x000a_(#25~#28, #55~#58)" u="1"/>
        <s v="영상고조파필터 이상소음 발생" u="1"/>
        <s v="BAT202 축전지 BMS 내부저항 에러 표출_x000a_(#27~#30)" u="1"/>
        <s v="발전기실 바닥 일부분 페인트 부서지고 일어남" u="1"/>
        <s v="터널 입구(영덕) 회차로 X게이트 다리파손" u="1"/>
        <s v="옥상 바닥 방수 시트 일부분 시공 미흡" u="1"/>
        <s v="옥상 사다리 바닥에 고정되어 있지 않음" u="1"/>
        <s v="201/LV  MCCB 전원 투입 영상고조파필터기기 내부 단락 으로 인한 손상 (0129 A/S차 수거, 0226 기기설치, 0310 A/S팀 방문 전원투입, 0311 이상소음발생 전원 끔 )" u="1"/>
        <s v="건물 외벽 하부 벽돌 매지 부서짐" u="1"/>
        <s v=" 변압기 큐비클 통로 측 천장 누수" u="1"/>
        <s v="201/LV  MCCB 전원 투입 영상고조파필터기기 내부 단락 으로 인한 손상 (0129 A/S차 수거, 0226 기기설치 A/S팀 방문 후 운영 예정)" u="1"/>
        <s v="수직사다리 등받이 울 미설치" u="1"/>
        <s v="201/LV  MCCB 전원 투입 영상고조파필터기기 내부 단락 으로 인한 손상" u="1"/>
      </sharedItems>
    </cacheField>
    <cacheField name="하자사진" numFmtId="0">
      <sharedItems containsNonDate="0" containsString="0" containsBlank="1"/>
    </cacheField>
    <cacheField name="조치일" numFmtId="14">
      <sharedItems containsNonDate="0" containsDate="1" containsString="0" containsBlank="1" minDate="1905-01-01T00:00:00" maxDate="1905-01-01T00:00:00" count="1">
        <m/>
      </sharedItems>
      <fieldGroup par="15"/>
    </cacheField>
    <cacheField name="조치사진" numFmtId="0">
      <sharedItems containsNonDate="0" containsString="0" containsBlank="1"/>
    </cacheField>
    <cacheField name="조치여부" numFmtId="0">
      <sharedItems containsNonDate="0" containsBlank="1" count="4">
        <m/>
        <s v="완료" u="1"/>
        <s v="진행중" u="1"/>
        <s v="미흡" u="1"/>
      </sharedItems>
    </cacheField>
    <cacheField name="업체명" numFmtId="0">
      <sharedItems containsNonDate="0" containsBlank="1" count="24">
        <m/>
        <s v="씨엠지테크" u="1"/>
        <s v="㈜에너솔라" u="1"/>
        <s v="일렉콤" u="1"/>
        <s v="DL이앤씨" u="1"/>
        <s v="보국전기공업㈜" u="1"/>
        <s v="한화" u="1"/>
        <s v="㈜와튼" u="1"/>
        <s v="오리엔트㈜" u="1"/>
        <s v="코리아넷" u="1"/>
        <s v="서진엔지니어링" u="1"/>
        <s v="신성정보기술" u="1"/>
        <s v="동양이엔티" u="1"/>
        <s v="태갑종합건축" u="1"/>
        <s v="㈜태양건설" u="1"/>
        <s v="D2U" u="1"/>
        <s v="에이원" u="1"/>
        <s v="세인" u="1"/>
        <s v="프라임솔루션" u="1"/>
        <s v="㈜이화" u="1"/>
        <s v="HP시스템" u="1"/>
        <s v="파코코리아" u="1"/>
        <s v="태양건설" u="1"/>
        <s v="한화건설" u="1"/>
      </sharedItems>
    </cacheField>
    <cacheField name="업체담당자" numFmtId="0">
      <sharedItems containsNonDate="0" containsBlank="1" count="35">
        <m/>
        <s v="소장 박태식" u="1"/>
        <s v="양승엽" u="1"/>
        <s v="이사 정석희" u="1"/>
        <s v="소장 안진옥" u="1"/>
        <s v="최원일" u="1"/>
        <s v="과장 정승규" u="1"/>
        <s v="정범선" u="1"/>
        <s v="소장 양기호" u="1"/>
        <s v="오종익" u="1"/>
        <s v="소장 성용성" u="1"/>
        <s v="박경민" u="1"/>
        <s v="이정우" u="1"/>
        <s v="조시현 소장" u="1"/>
        <s v="소장 조시현" u="1"/>
        <s v="박봉수 소장" u="1"/>
        <s v="최준혁 과장" u="1"/>
        <s v="정승규" u="1"/>
        <s v="A/S 팀" u="1"/>
        <s v="김승현 차장" u="1"/>
        <s v="변창식 소장" u="1"/>
        <s v="양기호 소장" u="1"/>
        <s v="박태식 소장" u="1"/>
        <s v="박민규 대리" u="1"/>
        <s v="홍순범 부장" u="1"/>
        <s v="홍순철 부장" u="1"/>
        <s v="황대영 이사" u="1"/>
        <s v="이재환 과장" u="1"/>
        <s v="박은경 부사장" u="1"/>
        <s v="정석희 이사" u="1"/>
        <s v="김종원 차장" u="1"/>
        <s v="정형용" u="1"/>
        <s v="정승용부장" u="1"/>
        <s v="이정기 과장" u="1"/>
        <s v="이충희" u="1"/>
      </sharedItems>
    </cacheField>
    <cacheField name="전화번호" numFmtId="0">
      <sharedItems containsNonDate="0" containsBlank="1" count="32">
        <m/>
        <s v="010-3524-7180" u="1"/>
        <s v="010-4123-9250" u="1"/>
        <s v="010-2847-6858" u="1"/>
        <s v="010-6210-6526" u="1"/>
        <s v="010-8915-2119" u="1"/>
        <s v="010-4808-5039" u="1"/>
        <s v="010-3436-4369" u="1"/>
        <s v="010-3532-4324" u="1"/>
        <s v="010-3874-5979" u="1"/>
        <s v="010-8829-4628" u="1"/>
        <s v="010-6485-3386" u="1"/>
        <s v="010-3307-0773" u="1"/>
        <s v="010-2879-6910" u="1"/>
        <s v="010-4517-9368" u="1"/>
        <s v="010-4123-9520" u="1"/>
        <s v="010-8469-8520" u="1"/>
        <s v="010-7110-6424" u="1"/>
        <s v="010-9022-5817" u="1"/>
        <s v="010-8810-1710" u="1"/>
        <s v="010-5334-8119" u="1"/>
        <s v="010-5176-8119" u="1"/>
        <s v="010-4501-4914" u="1"/>
        <s v="010-4786-4146" u="1"/>
        <s v="010-5241-1061" u="1"/>
        <s v="010-7220-4848" u="1"/>
        <s v="010-2082-9932" u="1"/>
        <s v="010-4543-3736" u="1"/>
        <s v="010-7455-8894" u="1"/>
        <s v="  010-4808-5039" u="1"/>
        <s v="010-2546-3215" u="1"/>
        <s v="010-2778-2434" u="1"/>
      </sharedItems>
    </cacheField>
    <cacheField name="비고" numFmtId="0">
      <sharedItems containsNonDate="0" containsBlank="1" count="9">
        <m/>
        <s v="2공구" u="1"/>
        <s v="0325 영상고조파필터 기기 새재품 으로 교체" u="1"/>
        <s v="신설" u="1"/>
        <s v="광센서 중계반 모듈 DTS교체" u="1"/>
        <s v="전원품질측정_x000a_원인분석중" u="1"/>
        <s v="0311 전원투입 후이상소음 발행 전원 끄고 상황전달 A/S요청" u="1"/>
        <s v="바닥에서2.5m_x000a_지점으로_x000a_부터설치" u="1"/>
        <s v="0129 A/S차 수거_x000a_0226 기기설치_x000a_A/S팀 방문 후 운영 예정" u="1"/>
      </sharedItems>
    </cacheField>
    <cacheField name="개월(조치일)" numFmtId="0" databaseField="0">
      <fieldGroup base="6">
        <rangePr groupBy="months" startDate="1905-01-01T00:00:00" endDate="1905-01-01T00:00:00"/>
        <groupItems count="14">
          <s v="&lt;1905-01-0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1905-01-01"/>
        </groupItems>
      </fieldGroup>
    </cacheField>
    <cacheField name="분기(조치일)" numFmtId="0" databaseField="0">
      <fieldGroup base="6">
        <rangePr groupBy="quarters" startDate="1905-01-01T00:00:00" endDate="1905-01-01T00:00:00"/>
        <groupItems count="6">
          <s v="&lt;1905-01-01"/>
          <s v="1사분기"/>
          <s v="2사분기"/>
          <s v="3사분기"/>
          <s v="4사분기"/>
          <s v="&gt;1905-01-01"/>
        </groupItems>
      </fieldGroup>
    </cacheField>
    <cacheField name="년(조치일)" numFmtId="0" databaseField="0">
      <fieldGroup base="6">
        <rangePr groupBy="years" startDate="1905-01-01T00:00:00" endDate="1905-01-01T00:00:00"/>
        <groupItems count="3">
          <s v="&lt;1905-01-01"/>
          <s v="1905년"/>
          <s v="&gt;1905-01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  <r>
    <x v="0"/>
    <x v="0"/>
    <x v="0"/>
    <x v="0"/>
    <x v="0"/>
    <m/>
    <x v="0"/>
    <m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2" cacheId="0" applyNumberFormats="0" applyBorderFormats="0" applyFontFormats="0" applyPatternFormats="0" applyAlignmentFormats="0" applyWidthHeightFormats="1" dataCaption="값" showMissing="0" updatedVersion="8" minRefreshableVersion="3" showDrill="0" itemPrintTitles="1" createdVersion="8" indent="0" compact="0" compactData="0" multipleFieldFilters="0">
  <location ref="A5:L8" firstHeaderRow="1" firstDataRow="1" firstDataCol="11"/>
  <pivotFields count="16">
    <pivotField axis="axisRow" compact="0" outline="0" showAll="0" defaultSubtotal="0">
      <items count="1">
        <item x="0"/>
      </items>
    </pivotField>
    <pivotField axis="axisRow" compact="0" outline="0" showAll="0" defaultSubtotal="0">
      <items count="8">
        <item m="1" x="6"/>
        <item m="1" x="1"/>
        <item m="1" x="5"/>
        <item m="1" x="2"/>
        <item m="1" x="3"/>
        <item m="1" x="4"/>
        <item m="1" x="7"/>
        <item n=" " x="0"/>
      </items>
    </pivotField>
    <pivotField axis="axisRow" compact="0" outline="0" showAll="0" defaultSubtotal="0">
      <items count="2">
        <item m="1" x="1"/>
        <item n=" " x="0"/>
      </items>
    </pivotField>
    <pivotField axis="axisRow" compact="0" outline="0" showAll="0" defaultSubtotal="0">
      <items count="11">
        <item m="1" x="4"/>
        <item m="1" x="1"/>
        <item m="1" x="6"/>
        <item m="1" x="9"/>
        <item m="1" x="8"/>
        <item m="1" x="3"/>
        <item m="1" x="5"/>
        <item m="1" x="2"/>
        <item m="1" x="7"/>
        <item n=" " x="0"/>
        <item m="1" x="10"/>
      </items>
    </pivotField>
    <pivotField axis="axisRow" dataField="1" compact="0" outline="0" showAll="0" defaultSubtotal="0">
      <items count="65">
        <item m="1" x="2"/>
        <item m="1" x="9"/>
        <item m="1" x="44"/>
        <item m="1" x="45"/>
        <item m="1" x="64"/>
        <item m="1" x="11"/>
        <item m="1" x="13"/>
        <item m="1" x="34"/>
        <item m="1" x="4"/>
        <item m="1" x="5"/>
        <item m="1" x="37"/>
        <item m="1" x="18"/>
        <item m="1" x="8"/>
        <item m="1" x="10"/>
        <item m="1" x="7"/>
        <item m="1" x="6"/>
        <item m="1" x="35"/>
        <item m="1" x="1"/>
        <item m="1" x="30"/>
        <item m="1" x="19"/>
        <item m="1" x="3"/>
        <item m="1" x="47"/>
        <item m="1" x="63"/>
        <item m="1" x="20"/>
        <item m="1" x="26"/>
        <item m="1" x="57"/>
        <item m="1" x="58"/>
        <item n="자동화재 탐지설비,  비상경보설비 수신기에서 회로시험 시 화재표시팝업창 표출안됨 (시공업체 : 터널안 발신기 작동시에만 표출)" m="1" x="23"/>
        <item m="1" x="27"/>
        <item m="1" x="17"/>
        <item m="1" x="16"/>
        <item m="1" x="12"/>
        <item m="1" x="25"/>
        <item m="1" x="28"/>
        <item m="1" x="24"/>
        <item m="1" x="15"/>
        <item m="1" x="39"/>
        <item m="1" x="38"/>
        <item m="1" x="40"/>
        <item m="1" x="14"/>
        <item m="1" x="22"/>
        <item m="1" x="31"/>
        <item m="1" x="42"/>
        <item m="1" x="46"/>
        <item m="1" x="43"/>
        <item m="1" x="29"/>
        <item m="1" x="32"/>
        <item m="1" x="36"/>
        <item n=" " x="0"/>
        <item n="201/LV  MCCB 전원 투입 영상고조파필터기기 내부 단락 으로 인한손상 (0129 A/S차 수거, 0226 기기설치 A/S팀 방문 후 운영 예정)" m="1" x="62"/>
        <item m="1" x="33"/>
        <item m="1" x="59"/>
        <item m="1" x="60"/>
        <item m="1" x="61"/>
        <item m="1" x="21"/>
        <item m="1" x="41"/>
        <item m="1" x="48"/>
        <item m="1" x="49"/>
        <item m="1" x="50"/>
        <item m="1" x="51"/>
        <item m="1" x="52"/>
        <item m="1" x="53"/>
        <item m="1" x="54"/>
        <item m="1" x="55"/>
        <item m="1" x="56"/>
      </items>
    </pivotField>
    <pivotField compact="0" outline="0" showAll="0" defaultSubtotal="0"/>
    <pivotField axis="axisRow" compact="0" outline="0" showAll="0" defaultSubtotal="0">
      <items count="1">
        <item n=" " x="0"/>
      </items>
    </pivotField>
    <pivotField compact="0" outline="0" showAll="0" defaultSubtotal="0"/>
    <pivotField axis="axisRow" subtotalCaption=" " compact="0" outline="0" showAll="0">
      <items count="5">
        <item m="1" x="3"/>
        <item m="1" x="2"/>
        <item m="1" x="1"/>
        <item n=" " x="0"/>
        <item t="default"/>
      </items>
    </pivotField>
    <pivotField axis="axisRow" compact="0" outline="0" showAll="0" defaultSubtotal="0">
      <items count="24">
        <item m="1" x="15"/>
        <item m="1" x="4"/>
        <item m="1" x="20"/>
        <item m="1" x="12"/>
        <item m="1" x="5"/>
        <item m="1" x="10"/>
        <item m="1" x="17"/>
        <item m="1" x="11"/>
        <item m="1" x="1"/>
        <item m="1" x="16"/>
        <item m="1" x="8"/>
        <item m="1" x="3"/>
        <item m="1" x="2"/>
        <item m="1" x="7"/>
        <item m="1" x="19"/>
        <item m="1" x="14"/>
        <item m="1" x="9"/>
        <item m="1" x="13"/>
        <item m="1" x="22"/>
        <item m="1" x="21"/>
        <item m="1" x="6"/>
        <item n=" " x="0"/>
        <item m="1" x="18"/>
        <item m="1" x="23"/>
      </items>
    </pivotField>
    <pivotField axis="axisRow" compact="0" outline="0" subtotalTop="0" showAll="0" defaultSubtotal="0">
      <items count="35">
        <item m="1" x="18"/>
        <item m="1" x="6"/>
        <item m="1" x="19"/>
        <item m="1" x="30"/>
        <item m="1" x="11"/>
        <item m="1" x="23"/>
        <item m="1" x="15"/>
        <item m="1" x="28"/>
        <item m="1" x="22"/>
        <item m="1" x="20"/>
        <item m="1" x="1"/>
        <item m="1" x="10"/>
        <item m="1" x="4"/>
        <item m="1" x="8"/>
        <item m="1" x="14"/>
        <item m="1" x="21"/>
        <item m="1" x="2"/>
        <item m="1" x="9"/>
        <item m="1" x="3"/>
        <item m="1" x="27"/>
        <item m="1" x="12"/>
        <item m="1" x="7"/>
        <item m="1" x="29"/>
        <item m="1" x="17"/>
        <item m="1" x="31"/>
        <item m="1" x="13"/>
        <item m="1" x="5"/>
        <item m="1" x="16"/>
        <item m="1" x="24"/>
        <item m="1" x="25"/>
        <item n=" " x="0"/>
        <item m="1" x="26"/>
        <item m="1" x="32"/>
        <item m="1" x="33"/>
        <item m="1" x="34"/>
      </items>
    </pivotField>
    <pivotField axis="axisRow" compact="0" outline="0" showAll="0" defaultSubtotal="0">
      <items count="32">
        <item m="1" x="26"/>
        <item m="1" x="3"/>
        <item m="1" x="13"/>
        <item m="1" x="12"/>
        <item m="1" x="7"/>
        <item m="1" x="1"/>
        <item m="1" x="8"/>
        <item m="1" x="9"/>
        <item m="1" x="2"/>
        <item m="1" x="15"/>
        <item m="1" x="22"/>
        <item m="1" x="14"/>
        <item m="1" x="27"/>
        <item m="1" x="23"/>
        <item m="1" x="6"/>
        <item m="1" x="21"/>
        <item m="1" x="20"/>
        <item m="1" x="4"/>
        <item m="1" x="11"/>
        <item m="1" x="17"/>
        <item m="1" x="25"/>
        <item m="1" x="28"/>
        <item m="1" x="16"/>
        <item m="1" x="19"/>
        <item m="1" x="10"/>
        <item m="1" x="5"/>
        <item m="1" x="18"/>
        <item n=" " x="0"/>
        <item m="1" x="24"/>
        <item m="1" x="29"/>
        <item m="1" x="30"/>
        <item m="1" x="31"/>
      </items>
    </pivotField>
    <pivotField axis="axisRow" compact="0" outline="0" showAll="0" defaultSubtotal="0">
      <items count="9">
        <item m="1" x="8"/>
        <item m="1" x="1"/>
        <item m="1" x="7"/>
        <item m="1" x="3"/>
        <item n=" " x="0"/>
        <item m="1" x="6"/>
        <item m="1" x="2"/>
        <item m="1" x="4"/>
        <item m="1" x="5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1"/>
        <item sd="0" x="2"/>
        <item sd="0" x="3"/>
        <item sd="0" x="4"/>
        <item x="0"/>
        <item x="5"/>
      </items>
    </pivotField>
    <pivotField compact="0" outline="0" showAll="0" defaultSubtotal="0">
      <items count="3">
        <item x="0"/>
        <item x="1"/>
        <item x="2"/>
      </items>
    </pivotField>
  </pivotFields>
  <rowFields count="11">
    <field x="8"/>
    <field x="0"/>
    <field x="1"/>
    <field x="2"/>
    <field x="3"/>
    <field x="4"/>
    <field x="6"/>
    <field x="9"/>
    <field x="10"/>
    <field x="11"/>
    <field x="12"/>
  </rowFields>
  <rowItems count="3">
    <i>
      <x v="3"/>
      <x/>
      <x v="7"/>
      <x v="1"/>
      <x v="9"/>
      <x v="48"/>
      <x/>
      <x v="21"/>
      <x v="30"/>
      <x v="27"/>
      <x v="4"/>
    </i>
    <i t="default">
      <x v="3"/>
    </i>
    <i t="grand">
      <x/>
    </i>
  </rowItems>
  <colItems count="1">
    <i/>
  </colItems>
  <dataFields count="1">
    <dataField name="건수" fld="4" subtotal="count" baseField="12" baseItem="1"/>
  </dataFields>
  <formats count="19">
    <format dxfId="19">
      <pivotArea field="12" type="button" dataOnly="0" labelOnly="1" outline="0" axis="axisRow" fieldPosition="10"/>
    </format>
    <format dxfId="18">
      <pivotArea dataOnly="0" labelOnly="1" outline="0" fieldPosition="0">
        <references count="1">
          <reference field="8" count="1">
            <x v="0"/>
          </reference>
        </references>
      </pivotArea>
    </format>
    <format dxfId="17">
      <pivotArea dataOnly="0" labelOnly="1" outline="0" fieldPosition="0">
        <references count="1">
          <reference field="8" count="1">
            <x v="1"/>
          </reference>
        </references>
      </pivotArea>
    </format>
    <format dxfId="16">
      <pivotArea dataOnly="0" labelOnly="1" outline="0" fieldPosition="0">
        <references count="1">
          <reference field="8" count="1">
            <x v="2"/>
          </reference>
        </references>
      </pivotArea>
    </format>
    <format dxfId="15">
      <pivotArea dataOnly="0" labelOnly="1" outline="0" fieldPosition="0">
        <references count="1">
          <reference field="8" count="1">
            <x v="3"/>
          </reference>
        </references>
      </pivotArea>
    </format>
    <format dxfId="14">
      <pivotArea field="8" type="button" dataOnly="0" labelOnly="1" outline="0" axis="axisRow" fieldPosition="0"/>
    </format>
    <format dxfId="13">
      <pivotArea field="0" type="button" dataOnly="0" labelOnly="1" outline="0" axis="axisRow" fieldPosition="1"/>
    </format>
    <format dxfId="12">
      <pivotArea field="1" type="button" dataOnly="0" labelOnly="1" outline="0" axis="axisRow" fieldPosition="2"/>
    </format>
    <format dxfId="11">
      <pivotArea field="2" type="button" dataOnly="0" labelOnly="1" outline="0" axis="axisRow" fieldPosition="3"/>
    </format>
    <format dxfId="10">
      <pivotArea field="3" type="button" dataOnly="0" labelOnly="1" outline="0" axis="axisRow" fieldPosition="4"/>
    </format>
    <format dxfId="9">
      <pivotArea field="4" type="button" dataOnly="0" labelOnly="1" outline="0" axis="axisRow" fieldPosition="5"/>
    </format>
    <format dxfId="8">
      <pivotArea field="6" type="button" dataOnly="0" labelOnly="1" outline="0" axis="axisRow" fieldPosition="6"/>
    </format>
    <format dxfId="7">
      <pivotArea field="9" type="button" dataOnly="0" labelOnly="1" outline="0" axis="axisRow" fieldPosition="7"/>
    </format>
    <format dxfId="6">
      <pivotArea field="11" type="button" dataOnly="0" labelOnly="1" outline="0" axis="axisRow" fieldPosition="9"/>
    </format>
    <format dxfId="5">
      <pivotArea field="12" type="button" dataOnly="0" labelOnly="1" outline="0" axis="axisRow" fieldPosition="10"/>
    </format>
    <format dxfId="4">
      <pivotArea dataOnly="0" labelOnly="1" outline="0" axis="axisValues" fieldPosition="0"/>
    </format>
    <format dxfId="3">
      <pivotArea field="4" type="button" dataOnly="0" labelOnly="1" outline="0" axis="axisRow" fieldPosition="5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fieldPosition="0">
        <references count="1">
          <reference field="12" count="0"/>
        </references>
      </pivotArea>
    </format>
  </formats>
  <pivotTableStyleInfo name="신스타일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_하자현황" displayName="표_하자현황" ref="A2:M12" totalsRowShown="0" headerRowDxfId="36" headerRowBorderDxfId="35" tableBorderDxfId="34" totalsRowBorderDxfId="33" headerRowCellStyle="표준 2">
  <autoFilter ref="A2:M12" xr:uid="{00000000-0009-0000-0100-000001000000}"/>
  <tableColumns count="13">
    <tableColumn id="1" xr3:uid="{00000000-0010-0000-0000-000001000000}" name="날짜" dataDxfId="32" dataCellStyle="표준 2"/>
    <tableColumn id="2" xr3:uid="{00000000-0010-0000-0000-000002000000}" name="공종" dataDxfId="31" dataCellStyle="표준 2"/>
    <tableColumn id="3" xr3:uid="{00000000-0010-0000-0000-000003000000}" name="터널명" dataDxfId="30" dataCellStyle="표준 2"/>
    <tableColumn id="4" xr3:uid="{00000000-0010-0000-0000-000004000000}" name="위치" dataDxfId="29" dataCellStyle="표준 2"/>
    <tableColumn id="5" xr3:uid="{00000000-0010-0000-0000-000005000000}" name="하자내용" dataDxfId="28" dataCellStyle="표준 2"/>
    <tableColumn id="6" xr3:uid="{00000000-0010-0000-0000-000006000000}" name="하자사진" dataDxfId="27" dataCellStyle="표준 2"/>
    <tableColumn id="7" xr3:uid="{00000000-0010-0000-0000-000007000000}" name="조치일" dataDxfId="26" dataCellStyle="표준 2"/>
    <tableColumn id="8" xr3:uid="{00000000-0010-0000-0000-000008000000}" name="조치사진" dataDxfId="25" dataCellStyle="표준 2"/>
    <tableColumn id="9" xr3:uid="{00000000-0010-0000-0000-000009000000}" name="조치여부" dataDxfId="24" dataCellStyle="표준 2"/>
    <tableColumn id="10" xr3:uid="{00000000-0010-0000-0000-00000A000000}" name="업체명" dataDxfId="23" dataCellStyle="표준 2"/>
    <tableColumn id="11" xr3:uid="{00000000-0010-0000-0000-00000B000000}" name="담당자" dataDxfId="22" dataCellStyle="표준 2"/>
    <tableColumn id="12" xr3:uid="{00000000-0010-0000-0000-00000C000000}" name="전화번호" dataDxfId="21" dataCellStyle="표준 2"/>
    <tableColumn id="13" xr3:uid="{00000000-0010-0000-0000-00000D000000}" name="비고" dataDxfId="20" dataCellStyle="표준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16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074328-50AC-4F3C-AA17-A8BC9968E193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c4aa2d11-9fa3-4267-aec5-0cedb9fdc9f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5"/>
  <sheetViews>
    <sheetView showGridLines="0" zoomScale="90" zoomScaleNormal="90" workbookViewId="0">
      <selection activeCell="F14" sqref="F14"/>
    </sheetView>
  </sheetViews>
  <sheetFormatPr defaultRowHeight="18" x14ac:dyDescent="0.55000000000000004"/>
  <cols>
    <col min="1" max="1" width="10.59765625" style="30" bestFit="1" customWidth="1"/>
    <col min="2" max="2" width="11" style="30" bestFit="1" customWidth="1"/>
    <col min="3" max="3" width="9.19921875" style="30" bestFit="1" customWidth="1"/>
    <col min="4" max="4" width="11" style="30" bestFit="1" customWidth="1"/>
    <col min="5" max="5" width="10.46484375" style="30" bestFit="1" customWidth="1"/>
    <col min="6" max="6" width="60.59765625" style="15" customWidth="1"/>
    <col min="7" max="7" width="11" style="30" bestFit="1" customWidth="1"/>
    <col min="8" max="8" width="14.33203125" style="30" bestFit="1" customWidth="1"/>
    <col min="9" max="9" width="13.06640625" style="30" bestFit="1" customWidth="1"/>
    <col min="10" max="10" width="14.265625" style="30" bestFit="1" customWidth="1"/>
    <col min="11" max="11" width="12.59765625" style="30" customWidth="1"/>
    <col min="12" max="12" width="4.796875" style="30" bestFit="1" customWidth="1"/>
    <col min="13" max="13" width="8.53125" style="30" bestFit="1" customWidth="1"/>
    <col min="14" max="14" width="10.46484375" style="30" bestFit="1" customWidth="1"/>
    <col min="15" max="15" width="6.73046875" style="30" bestFit="1" customWidth="1"/>
  </cols>
  <sheetData>
    <row r="1" spans="1:12" ht="30" customHeight="1" x14ac:dyDescent="0.55000000000000004">
      <c r="A1" s="19"/>
      <c r="B1" s="19"/>
      <c r="C1" s="19"/>
      <c r="D1" s="19"/>
      <c r="E1" s="19"/>
      <c r="F1" s="24"/>
      <c r="G1" s="19"/>
      <c r="H1" s="19"/>
      <c r="I1" s="19"/>
      <c r="J1" s="19"/>
      <c r="K1" s="19"/>
      <c r="L1" s="19"/>
    </row>
    <row r="2" spans="1:12" ht="30" customHeight="1" x14ac:dyDescent="0.55000000000000004">
      <c r="A2" s="20" t="s">
        <v>15</v>
      </c>
      <c r="B2" s="17"/>
      <c r="C2" s="17"/>
      <c r="D2" s="17"/>
      <c r="E2" s="17"/>
      <c r="F2" s="25"/>
      <c r="G2" s="17"/>
      <c r="H2" s="17"/>
      <c r="I2" s="17"/>
      <c r="J2" s="17"/>
      <c r="K2" s="17"/>
      <c r="L2" s="17"/>
    </row>
    <row r="3" spans="1:12" ht="30" customHeight="1" x14ac:dyDescent="0.55000000000000004">
      <c r="A3" s="18"/>
      <c r="B3" s="18"/>
      <c r="C3" s="18"/>
      <c r="D3" s="18"/>
      <c r="E3" s="18"/>
      <c r="F3" s="26"/>
      <c r="G3" s="18"/>
      <c r="H3" s="18"/>
      <c r="I3" s="18"/>
      <c r="J3" s="18"/>
      <c r="K3" s="18"/>
      <c r="L3" s="18"/>
    </row>
    <row r="4" spans="1:12" ht="10.1" customHeight="1" x14ac:dyDescent="0.55000000000000004"/>
    <row r="5" spans="1:12" x14ac:dyDescent="0.55000000000000004">
      <c r="A5" s="21" t="s">
        <v>8</v>
      </c>
      <c r="B5" s="21" t="s">
        <v>0</v>
      </c>
      <c r="C5" s="21" t="s">
        <v>1</v>
      </c>
      <c r="D5" s="21" t="s">
        <v>2</v>
      </c>
      <c r="E5" s="21" t="s">
        <v>3</v>
      </c>
      <c r="F5" s="22" t="s">
        <v>4</v>
      </c>
      <c r="G5" s="21" t="s">
        <v>6</v>
      </c>
      <c r="H5" s="21" t="s">
        <v>9</v>
      </c>
      <c r="I5" s="16" t="s">
        <v>10</v>
      </c>
      <c r="J5" s="21" t="s">
        <v>11</v>
      </c>
      <c r="K5" s="22" t="s">
        <v>12</v>
      </c>
      <c r="L5" s="23" t="s">
        <v>16</v>
      </c>
    </row>
    <row r="6" spans="1:12" x14ac:dyDescent="0.55000000000000004">
      <c r="A6" s="15" t="s">
        <v>14</v>
      </c>
      <c r="B6" t="s">
        <v>19</v>
      </c>
      <c r="C6" t="s">
        <v>14</v>
      </c>
      <c r="D6" t="s">
        <v>14</v>
      </c>
      <c r="E6" t="s">
        <v>14</v>
      </c>
      <c r="F6" s="15" t="s">
        <v>14</v>
      </c>
      <c r="G6" t="s">
        <v>14</v>
      </c>
      <c r="H6" t="s">
        <v>14</v>
      </c>
      <c r="I6" t="s">
        <v>14</v>
      </c>
      <c r="J6" t="s">
        <v>14</v>
      </c>
      <c r="K6" s="15" t="s">
        <v>14</v>
      </c>
      <c r="L6">
        <v>0</v>
      </c>
    </row>
    <row r="7" spans="1:12" x14ac:dyDescent="0.55000000000000004">
      <c r="A7" t="s">
        <v>14</v>
      </c>
      <c r="B7"/>
      <c r="C7"/>
      <c r="D7"/>
      <c r="E7"/>
      <c r="F7"/>
      <c r="G7"/>
      <c r="H7"/>
      <c r="I7"/>
      <c r="J7"/>
      <c r="K7"/>
      <c r="L7">
        <v>0</v>
      </c>
    </row>
    <row r="8" spans="1:12" x14ac:dyDescent="0.55000000000000004">
      <c r="A8" t="s">
        <v>17</v>
      </c>
      <c r="B8"/>
      <c r="C8"/>
      <c r="D8"/>
      <c r="E8"/>
      <c r="F8"/>
      <c r="G8"/>
      <c r="H8"/>
      <c r="I8"/>
      <c r="J8"/>
      <c r="K8"/>
      <c r="L8">
        <v>0</v>
      </c>
    </row>
    <row r="9" spans="1:12" ht="38.4" customHeight="1" x14ac:dyDescent="0.55000000000000004">
      <c r="A9"/>
      <c r="B9"/>
      <c r="C9"/>
      <c r="D9"/>
      <c r="E9"/>
      <c r="F9"/>
      <c r="G9"/>
      <c r="H9"/>
      <c r="I9"/>
      <c r="J9"/>
      <c r="K9"/>
      <c r="L9"/>
    </row>
    <row r="10" spans="1:12" x14ac:dyDescent="0.55000000000000004">
      <c r="A10"/>
      <c r="B10"/>
      <c r="C10"/>
      <c r="D10"/>
      <c r="E10"/>
      <c r="F10"/>
      <c r="G10"/>
      <c r="H10"/>
      <c r="I10"/>
      <c r="J10"/>
      <c r="K10"/>
      <c r="L10"/>
    </row>
    <row r="11" spans="1:12" ht="38.4" customHeight="1" x14ac:dyDescent="0.55000000000000004">
      <c r="A11"/>
      <c r="B11"/>
      <c r="C11"/>
      <c r="D11"/>
      <c r="E11"/>
      <c r="F11"/>
      <c r="G11"/>
      <c r="H11"/>
      <c r="I11"/>
      <c r="J11"/>
      <c r="K11"/>
      <c r="L11"/>
    </row>
    <row r="12" spans="1:12" x14ac:dyDescent="0.55000000000000004">
      <c r="A12"/>
      <c r="B12"/>
      <c r="C12"/>
      <c r="D12"/>
      <c r="E12"/>
      <c r="F12"/>
      <c r="G12"/>
      <c r="H12"/>
      <c r="I12"/>
      <c r="J12"/>
      <c r="K12"/>
      <c r="L12"/>
    </row>
    <row r="13" spans="1:12" ht="38.4" customHeight="1" x14ac:dyDescent="0.55000000000000004">
      <c r="A13"/>
      <c r="B13"/>
      <c r="C13"/>
      <c r="D13"/>
      <c r="E13"/>
      <c r="F13"/>
      <c r="G13"/>
      <c r="H13"/>
      <c r="I13"/>
      <c r="J13"/>
      <c r="K13"/>
      <c r="L13"/>
    </row>
    <row r="14" spans="1:12" x14ac:dyDescent="0.55000000000000004">
      <c r="A14"/>
      <c r="B14"/>
      <c r="C14"/>
      <c r="D14"/>
      <c r="E14"/>
      <c r="F14"/>
      <c r="G14"/>
      <c r="H14"/>
      <c r="I14"/>
      <c r="J14"/>
      <c r="K14"/>
      <c r="L14"/>
    </row>
    <row r="15" spans="1:12" x14ac:dyDescent="0.55000000000000004">
      <c r="A15"/>
      <c r="B15"/>
      <c r="C15"/>
      <c r="D15"/>
      <c r="E15"/>
      <c r="F15"/>
      <c r="G15"/>
      <c r="H15"/>
      <c r="I15"/>
      <c r="J15"/>
      <c r="K15"/>
      <c r="L15"/>
    </row>
    <row r="16" spans="1:12" x14ac:dyDescent="0.55000000000000004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55000000000000004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55000000000000004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55000000000000004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55000000000000004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55000000000000004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55000000000000004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55000000000000004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55000000000000004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55000000000000004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55000000000000004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55000000000000004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55000000000000004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55000000000000004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55000000000000004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55000000000000004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55000000000000004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55000000000000004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55000000000000004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55000000000000004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55000000000000004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55000000000000004">
      <c r="A37"/>
      <c r="B37"/>
      <c r="C37"/>
      <c r="D37"/>
      <c r="E37"/>
      <c r="F37"/>
      <c r="G37"/>
      <c r="H37"/>
      <c r="I37"/>
      <c r="J37"/>
      <c r="K37"/>
      <c r="L37"/>
    </row>
    <row r="38" spans="1:12" ht="38.4" customHeight="1" x14ac:dyDescent="0.55000000000000004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55000000000000004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55000000000000004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55000000000000004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55000000000000004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55000000000000004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55000000000000004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55000000000000004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55000000000000004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55000000000000004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55000000000000004">
      <c r="A48"/>
      <c r="B48"/>
      <c r="C48"/>
      <c r="D48"/>
      <c r="E48"/>
      <c r="F48"/>
      <c r="G48"/>
      <c r="H48"/>
      <c r="I48"/>
      <c r="J48"/>
      <c r="K48"/>
      <c r="L48"/>
    </row>
    <row r="49" spans="1:12" ht="76.849999999999994" customHeight="1" x14ac:dyDescent="0.55000000000000004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55000000000000004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55000000000000004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55000000000000004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55000000000000004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55000000000000004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55000000000000004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55000000000000004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55000000000000004">
      <c r="A57"/>
      <c r="B57"/>
      <c r="C57"/>
      <c r="D57"/>
      <c r="E57"/>
      <c r="F57"/>
      <c r="G57"/>
      <c r="H57"/>
      <c r="I57"/>
      <c r="J57"/>
      <c r="K57"/>
      <c r="L57"/>
    </row>
    <row r="58" spans="1:12" ht="38.4" customHeight="1" x14ac:dyDescent="0.55000000000000004">
      <c r="A58"/>
      <c r="B58"/>
      <c r="C58"/>
      <c r="D58"/>
      <c r="E58"/>
      <c r="F58"/>
      <c r="G58"/>
      <c r="H58"/>
      <c r="I58"/>
      <c r="J58"/>
      <c r="K58"/>
      <c r="L58"/>
    </row>
    <row r="59" spans="1:12" ht="38.4" customHeight="1" x14ac:dyDescent="0.55000000000000004">
      <c r="A59"/>
      <c r="B59"/>
      <c r="C59"/>
      <c r="D59"/>
      <c r="E59"/>
      <c r="F59"/>
      <c r="G59"/>
      <c r="H59"/>
      <c r="I59"/>
      <c r="J59"/>
      <c r="K59"/>
      <c r="L59"/>
    </row>
    <row r="60" spans="1:12" ht="38.4" customHeight="1" x14ac:dyDescent="0.55000000000000004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55000000000000004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55000000000000004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55000000000000004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55000000000000004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55000000000000004">
      <c r="A65"/>
      <c r="B65"/>
      <c r="C65"/>
      <c r="D65"/>
      <c r="E65"/>
      <c r="F65"/>
      <c r="G65"/>
      <c r="H65"/>
      <c r="I65"/>
      <c r="J65"/>
      <c r="K65"/>
      <c r="L65"/>
    </row>
  </sheetData>
  <phoneticPr fontId="3" type="noConversion"/>
  <printOptions horizontalCentered="1"/>
  <pageMargins left="0.78740157480314965" right="0.39370078740157483" top="0.39370078740157483" bottom="0.39370078740157483" header="0.39370078740157483" footer="0.39370078740157483"/>
  <pageSetup paperSize="9" scale="62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12"/>
  <sheetViews>
    <sheetView tabSelected="1" view="pageBreakPreview" zoomScale="80" zoomScaleSheetLayoutView="80" workbookViewId="0">
      <pane ySplit="2" topLeftCell="A3" activePane="bottomLeft" state="frozen"/>
      <selection pane="bottomLeft" activeCell="L3" sqref="L3"/>
    </sheetView>
  </sheetViews>
  <sheetFormatPr defaultColWidth="10.06640625" defaultRowHeight="19.75" x14ac:dyDescent="0.55000000000000004"/>
  <cols>
    <col min="1" max="1" width="12.19921875" style="3" bestFit="1" customWidth="1"/>
    <col min="2" max="2" width="9.19921875" style="3" bestFit="1" customWidth="1"/>
    <col min="3" max="3" width="10.796875" style="3" bestFit="1" customWidth="1"/>
    <col min="4" max="4" width="10.46484375" style="3" bestFit="1" customWidth="1"/>
    <col min="5" max="5" width="54" style="3" customWidth="1"/>
    <col min="6" max="6" width="21.06640625" style="3" customWidth="1"/>
    <col min="7" max="7" width="11.796875" style="3" customWidth="1"/>
    <col min="8" max="8" width="21.06640625" style="3" customWidth="1"/>
    <col min="9" max="9" width="10.33203125" style="3" customWidth="1"/>
    <col min="10" max="10" width="15.59765625" style="3" bestFit="1" customWidth="1"/>
    <col min="11" max="12" width="16.06640625" style="3" customWidth="1"/>
    <col min="13" max="13" width="14.33203125" style="3" customWidth="1"/>
    <col min="14" max="14" width="11.33203125" style="29" bestFit="1" customWidth="1"/>
    <col min="15" max="15" width="10.06640625" style="3" customWidth="1"/>
    <col min="16" max="16384" width="10.06640625" style="3"/>
  </cols>
  <sheetData>
    <row r="1" spans="1:14" s="2" customFormat="1" ht="60" customHeight="1" x14ac:dyDescent="0.55000000000000004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7"/>
    </row>
    <row r="2" spans="1:14" ht="40.200000000000003" customHeight="1" x14ac:dyDescent="0.55000000000000004">
      <c r="A2" s="12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4" t="s">
        <v>8</v>
      </c>
      <c r="J2" s="13" t="s">
        <v>9</v>
      </c>
      <c r="K2" s="13" t="s">
        <v>20</v>
      </c>
      <c r="L2" s="13" t="s">
        <v>21</v>
      </c>
      <c r="M2" s="14" t="s">
        <v>12</v>
      </c>
      <c r="N2" s="28" t="s">
        <v>13</v>
      </c>
    </row>
    <row r="3" spans="1:14" ht="85.2" customHeight="1" x14ac:dyDescent="0.55000000000000004">
      <c r="A3" s="4"/>
      <c r="B3" s="5"/>
      <c r="C3" s="5"/>
      <c r="D3" s="6"/>
      <c r="E3" s="7"/>
      <c r="F3" s="8"/>
      <c r="G3" s="9"/>
      <c r="H3" s="8"/>
      <c r="I3" s="10"/>
      <c r="J3" s="11"/>
      <c r="K3" s="11"/>
      <c r="L3" s="5"/>
      <c r="M3" s="10"/>
      <c r="N3" s="10"/>
    </row>
    <row r="4" spans="1:14" ht="85.2" customHeight="1" x14ac:dyDescent="0.55000000000000004">
      <c r="A4" s="4"/>
      <c r="B4" s="5"/>
      <c r="C4" s="5"/>
      <c r="D4" s="6"/>
      <c r="E4" s="7"/>
      <c r="F4" s="8"/>
      <c r="G4" s="9"/>
      <c r="H4" s="8"/>
      <c r="I4" s="10"/>
      <c r="J4" s="11"/>
      <c r="K4" s="11"/>
      <c r="L4" s="5"/>
      <c r="M4" s="10"/>
      <c r="N4" s="10"/>
    </row>
    <row r="5" spans="1:14" ht="85.2" customHeight="1" x14ac:dyDescent="0.55000000000000004">
      <c r="A5" s="4"/>
      <c r="B5" s="5"/>
      <c r="C5" s="5"/>
      <c r="D5" s="6"/>
      <c r="E5" s="7"/>
      <c r="F5" s="8"/>
      <c r="G5" s="9"/>
      <c r="H5" s="8"/>
      <c r="I5" s="10"/>
      <c r="J5" s="11"/>
      <c r="K5" s="11"/>
      <c r="L5" s="5"/>
      <c r="M5" s="10"/>
      <c r="N5" s="10"/>
    </row>
    <row r="6" spans="1:14" ht="85.2" customHeight="1" x14ac:dyDescent="0.55000000000000004">
      <c r="A6" s="4"/>
      <c r="B6" s="5"/>
      <c r="C6" s="5"/>
      <c r="D6" s="6"/>
      <c r="E6" s="7"/>
      <c r="F6" s="8"/>
      <c r="G6" s="9"/>
      <c r="H6" s="8"/>
      <c r="I6" s="10"/>
      <c r="J6" s="11"/>
      <c r="K6" s="11"/>
      <c r="L6" s="5"/>
      <c r="M6" s="10"/>
      <c r="N6" s="10"/>
    </row>
    <row r="7" spans="1:14" ht="85.2" customHeight="1" x14ac:dyDescent="0.55000000000000004">
      <c r="A7" s="4"/>
      <c r="B7" s="5"/>
      <c r="C7" s="5"/>
      <c r="D7" s="6"/>
      <c r="E7" s="7"/>
      <c r="F7" s="8"/>
      <c r="G7" s="9"/>
      <c r="H7" s="8"/>
      <c r="I7" s="10"/>
      <c r="J7" s="11"/>
      <c r="K7" s="11"/>
      <c r="L7" s="5"/>
      <c r="M7" s="10"/>
      <c r="N7" s="10"/>
    </row>
    <row r="8" spans="1:14" ht="85.2" customHeight="1" x14ac:dyDescent="0.55000000000000004">
      <c r="A8" s="4"/>
      <c r="B8" s="5"/>
      <c r="C8" s="5"/>
      <c r="D8" s="6"/>
      <c r="E8" s="7"/>
      <c r="F8" s="8"/>
      <c r="G8" s="9"/>
      <c r="H8" s="8"/>
      <c r="I8" s="10"/>
      <c r="J8" s="11"/>
      <c r="K8" s="11"/>
      <c r="L8" s="5"/>
      <c r="M8" s="10"/>
      <c r="N8" s="10"/>
    </row>
    <row r="9" spans="1:14" ht="85.2" customHeight="1" x14ac:dyDescent="0.55000000000000004">
      <c r="A9" s="4"/>
      <c r="B9" s="5"/>
      <c r="C9" s="5"/>
      <c r="D9" s="6"/>
      <c r="E9" s="7"/>
      <c r="F9" s="8"/>
      <c r="G9" s="9"/>
      <c r="H9" s="8"/>
      <c r="I9" s="10"/>
      <c r="J9" s="11"/>
      <c r="K9" s="11"/>
      <c r="L9" s="5"/>
      <c r="M9" s="10"/>
      <c r="N9" s="10"/>
    </row>
    <row r="10" spans="1:14" ht="85.2" customHeight="1" x14ac:dyDescent="0.55000000000000004">
      <c r="A10" s="4"/>
      <c r="B10" s="5"/>
      <c r="C10" s="5"/>
      <c r="D10" s="6"/>
      <c r="E10" s="7"/>
      <c r="F10" s="8"/>
      <c r="G10" s="9"/>
      <c r="H10" s="8"/>
      <c r="I10" s="10"/>
      <c r="J10" s="11"/>
      <c r="K10" s="11"/>
      <c r="L10" s="5"/>
      <c r="M10" s="10"/>
      <c r="N10" s="10"/>
    </row>
    <row r="11" spans="1:14" ht="85.2" customHeight="1" x14ac:dyDescent="0.55000000000000004">
      <c r="A11" s="4"/>
      <c r="B11" s="5"/>
      <c r="C11" s="5"/>
      <c r="D11" s="6"/>
      <c r="E11" s="7"/>
      <c r="F11" s="8"/>
      <c r="G11" s="9"/>
      <c r="H11" s="8"/>
      <c r="I11" s="10"/>
      <c r="J11" s="11"/>
      <c r="K11" s="11"/>
      <c r="L11" s="5"/>
      <c r="M11" s="10"/>
      <c r="N11" s="10"/>
    </row>
    <row r="12" spans="1:14" ht="85.2" customHeight="1" x14ac:dyDescent="0.55000000000000004">
      <c r="A12" s="4"/>
      <c r="B12" s="5"/>
      <c r="C12" s="5"/>
      <c r="D12" s="6"/>
      <c r="E12" s="7"/>
      <c r="F12" s="8"/>
      <c r="G12" s="9"/>
      <c r="H12" s="8"/>
      <c r="I12" s="10"/>
      <c r="J12" s="11"/>
      <c r="K12" s="11"/>
      <c r="L12" s="5"/>
      <c r="M12" s="10"/>
      <c r="N12" s="10"/>
    </row>
  </sheetData>
  <phoneticPr fontId="3" type="noConversion"/>
  <conditionalFormatting sqref="I3:I12">
    <cfRule type="expression" dxfId="0" priority="3">
      <formula>$I3="완료"</formula>
    </cfRule>
  </conditionalFormatting>
  <printOptions horizontalCentered="1"/>
  <pageMargins left="0.78740157480314965" right="0.39370078740157483" top="0.39370078740157483" bottom="0.39370078740157483" header="0.39370078740157483" footer="0.39370078740157483"/>
  <pageSetup paperSize="9" scale="4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요약</vt:lpstr>
      <vt:lpstr>하자현황</vt:lpstr>
      <vt:lpstr>하자현황!Print_Area</vt:lpstr>
      <vt:lpstr>요약!Print_Titles</vt:lpstr>
      <vt:lpstr>하자현황!Print_Titles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신종섭</dc:creator>
  <cp:lastModifiedBy>신종섭</cp:lastModifiedBy>
  <cp:lastPrinted>2026-03-05T06:38:56Z</cp:lastPrinted>
  <dcterms:created xsi:type="dcterms:W3CDTF">2026-01-28T05:04:36Z</dcterms:created>
  <dcterms:modified xsi:type="dcterms:W3CDTF">2026-07-01T07:45:31Z</dcterms:modified>
</cp:coreProperties>
</file>